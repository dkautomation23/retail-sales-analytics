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 yyyy"/>
    <numFmt numFmtId="166" formatCode="#,##0;[Red]-#,##0"/>
    <numFmt numFmtId="167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MonthlyTable" displayName="MonthlyTable" ref="A1:I26" headerRowCount="1">
  <autoFilter ref="A1:I26"/>
  <tableColumns count="9">
    <tableColumn id="1" name="Month"/>
    <tableColumn id="2" name="Gross revenue"/>
    <tableColumn id="3" name="Cancelled"/>
    <tableColumn id="4" name="Orders"/>
    <tableColumn id="5" name="Net revenue"/>
    <tableColumn id="6" name="Net MoM %"/>
    <tableColumn id="7" name="Net YoY %"/>
    <tableColumn id="8" name="Year"/>
    <tableColumn id="9" name="Partial month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Gross revenue</t>
        </is>
      </c>
      <c r="C1" t="inlineStr">
        <is>
          <t>Cancelled</t>
        </is>
      </c>
      <c r="D1" t="inlineStr">
        <is>
          <t>Orders</t>
        </is>
      </c>
      <c r="E1" t="inlineStr">
        <is>
          <t>Net revenue</t>
        </is>
      </c>
      <c r="F1" t="inlineStr">
        <is>
          <t>Net MoM %</t>
        </is>
      </c>
      <c r="G1" t="inlineStr">
        <is>
          <t>Net YoY %</t>
        </is>
      </c>
      <c r="H1" t="inlineStr">
        <is>
          <t>Year</t>
        </is>
      </c>
      <c r="I1" t="inlineStr">
        <is>
          <t>Partial month</t>
        </is>
      </c>
    </row>
    <row r="2">
      <c r="A2" s="1" t="n">
        <v>40148</v>
      </c>
      <c r="B2" s="2" t="n">
        <v>797738.02</v>
      </c>
      <c r="C2" s="2" t="n">
        <v>19558.08</v>
      </c>
      <c r="D2" t="n">
        <v>1666</v>
      </c>
      <c r="E2" s="2">
        <f>B2-C2</f>
        <v/>
      </c>
      <c r="F2" s="3" t="inlineStr"/>
      <c r="G2" s="3">
        <f>IFERROR(E2/INDEX($E$2:$E$26,MATCH(EDATE(A2,-12),$A$2:$A$26,0))-1,"")</f>
        <v/>
      </c>
      <c r="H2">
        <f>YEAR(A2)</f>
        <v/>
      </c>
      <c r="I2">
        <f>IF(A2=DATE(2011,12,1),"partial","")</f>
        <v/>
      </c>
    </row>
    <row r="3">
      <c r="A3" s="1" t="n">
        <v>40179</v>
      </c>
      <c r="B3" s="2" t="n">
        <v>612271.2</v>
      </c>
      <c r="C3" s="2" t="n">
        <v>7465.63</v>
      </c>
      <c r="D3" t="n">
        <v>1049</v>
      </c>
      <c r="E3" s="2">
        <f>B3-C3</f>
        <v/>
      </c>
      <c r="F3" s="3">
        <f>IFERROR(E3/E2-1,"")</f>
        <v/>
      </c>
      <c r="G3" s="3">
        <f>IFERROR(E3/INDEX($E$2:$E$26,MATCH(EDATE(A3,-12),$A$2:$A$26,0))-1,"")</f>
        <v/>
      </c>
      <c r="H3">
        <f>YEAR(A3)</f>
        <v/>
      </c>
      <c r="I3">
        <f>IF(A3=DATE(2011,12,1),"partial","")</f>
        <v/>
      </c>
    </row>
    <row r="4">
      <c r="A4" s="1" t="n">
        <v>40210</v>
      </c>
      <c r="B4" s="2" t="n">
        <v>537893.54</v>
      </c>
      <c r="C4" s="2" t="n">
        <v>12575.44</v>
      </c>
      <c r="D4" t="n">
        <v>1189</v>
      </c>
      <c r="E4" s="2">
        <f>B4-C4</f>
        <v/>
      </c>
      <c r="F4" s="3">
        <f>IFERROR(E4/E3-1,"")</f>
        <v/>
      </c>
      <c r="G4" s="3">
        <f>IFERROR(E4/INDEX($E$2:$E$26,MATCH(EDATE(A4,-12),$A$2:$A$26,0))-1,"")</f>
        <v/>
      </c>
      <c r="H4">
        <f>YEAR(A4)</f>
        <v/>
      </c>
      <c r="I4">
        <f>IF(A4=DATE(2011,12,1),"partial","")</f>
        <v/>
      </c>
    </row>
    <row r="5">
      <c r="A5" s="1" t="n">
        <v>40238</v>
      </c>
      <c r="B5" s="2" t="n">
        <v>761665.62</v>
      </c>
      <c r="C5" s="2" t="n">
        <v>9603.85</v>
      </c>
      <c r="D5" t="n">
        <v>1647</v>
      </c>
      <c r="E5" s="2">
        <f>B5-C5</f>
        <v/>
      </c>
      <c r="F5" s="3">
        <f>IFERROR(E5/E4-1,"")</f>
        <v/>
      </c>
      <c r="G5" s="3">
        <f>IFERROR(E5/INDEX($E$2:$E$26,MATCH(EDATE(A5,-12),$A$2:$A$26,0))-1,"")</f>
        <v/>
      </c>
      <c r="H5">
        <f>YEAR(A5)</f>
        <v/>
      </c>
      <c r="I5">
        <f>IF(A5=DATE(2011,12,1),"partial","")</f>
        <v/>
      </c>
    </row>
    <row r="6">
      <c r="A6" s="1" t="n">
        <v>40269</v>
      </c>
      <c r="B6" s="2" t="n">
        <v>646233.1800000001</v>
      </c>
      <c r="C6" s="2" t="n">
        <v>10025.26</v>
      </c>
      <c r="D6" t="n">
        <v>1435</v>
      </c>
      <c r="E6" s="2">
        <f>B6-C6</f>
        <v/>
      </c>
      <c r="F6" s="3">
        <f>IFERROR(E6/E5-1,"")</f>
        <v/>
      </c>
      <c r="G6" s="3">
        <f>IFERROR(E6/INDEX($E$2:$E$26,MATCH(EDATE(A6,-12),$A$2:$A$26,0))-1,"")</f>
        <v/>
      </c>
      <c r="H6">
        <f>YEAR(A6)</f>
        <v/>
      </c>
      <c r="I6">
        <f>IF(A6=DATE(2011,12,1),"partial","")</f>
        <v/>
      </c>
    </row>
    <row r="7">
      <c r="A7" s="1" t="n">
        <v>40299</v>
      </c>
      <c r="B7" s="2" t="n">
        <v>643474.28</v>
      </c>
      <c r="C7" s="2" t="n">
        <v>37192.89</v>
      </c>
      <c r="D7" t="n">
        <v>1484</v>
      </c>
      <c r="E7" s="2">
        <f>B7-C7</f>
        <v/>
      </c>
      <c r="F7" s="3">
        <f>IFERROR(E7/E6-1,"")</f>
        <v/>
      </c>
      <c r="G7" s="3">
        <f>IFERROR(E7/INDEX($E$2:$E$26,MATCH(EDATE(A7,-12),$A$2:$A$26,0))-1,"")</f>
        <v/>
      </c>
      <c r="H7">
        <f>YEAR(A7)</f>
        <v/>
      </c>
      <c r="I7">
        <f>IF(A7=DATE(2011,12,1),"partial","")</f>
        <v/>
      </c>
    </row>
    <row r="8">
      <c r="A8" s="1" t="n">
        <v>40330</v>
      </c>
      <c r="B8" s="2" t="n">
        <v>696439.47</v>
      </c>
      <c r="C8" s="2" t="n">
        <v>26336.86</v>
      </c>
      <c r="D8" t="n">
        <v>1612</v>
      </c>
      <c r="E8" s="2">
        <f>B8-C8</f>
        <v/>
      </c>
      <c r="F8" s="3">
        <f>IFERROR(E8/E7-1,"")</f>
        <v/>
      </c>
      <c r="G8" s="3">
        <f>IFERROR(E8/INDEX($E$2:$E$26,MATCH(EDATE(A8,-12),$A$2:$A$26,0))-1,"")</f>
        <v/>
      </c>
      <c r="H8">
        <f>YEAR(A8)</f>
        <v/>
      </c>
      <c r="I8">
        <f>IF(A8=DATE(2011,12,1),"partial","")</f>
        <v/>
      </c>
    </row>
    <row r="9">
      <c r="A9" s="1" t="n">
        <v>40360</v>
      </c>
      <c r="B9" s="2" t="n">
        <v>632983.51</v>
      </c>
      <c r="C9" s="2" t="n">
        <v>17132.73</v>
      </c>
      <c r="D9" t="n">
        <v>1507</v>
      </c>
      <c r="E9" s="2">
        <f>B9-C9</f>
        <v/>
      </c>
      <c r="F9" s="3">
        <f>IFERROR(E9/E8-1,"")</f>
        <v/>
      </c>
      <c r="G9" s="3">
        <f>IFERROR(E9/INDEX($E$2:$E$26,MATCH(EDATE(A9,-12),$A$2:$A$26,0))-1,"")</f>
        <v/>
      </c>
      <c r="H9">
        <f>YEAR(A9)</f>
        <v/>
      </c>
      <c r="I9">
        <f>IF(A9=DATE(2011,12,1),"partial","")</f>
        <v/>
      </c>
    </row>
    <row r="10">
      <c r="A10" s="1" t="n">
        <v>40391</v>
      </c>
      <c r="B10" s="2" t="n">
        <v>674036.87</v>
      </c>
      <c r="C10" s="2" t="n">
        <v>12397.6</v>
      </c>
      <c r="D10" t="n">
        <v>1402</v>
      </c>
      <c r="E10" s="2">
        <f>B10-C10</f>
        <v/>
      </c>
      <c r="F10" s="3">
        <f>IFERROR(E10/E9-1,"")</f>
        <v/>
      </c>
      <c r="G10" s="3">
        <f>IFERROR(E10/INDEX($E$2:$E$26,MATCH(EDATE(A10,-12),$A$2:$A$26,0))-1,"")</f>
        <v/>
      </c>
      <c r="H10">
        <f>YEAR(A10)</f>
        <v/>
      </c>
      <c r="I10">
        <f>IF(A10=DATE(2011,12,1),"partial","")</f>
        <v/>
      </c>
    </row>
    <row r="11">
      <c r="A11" s="1" t="n">
        <v>40422</v>
      </c>
      <c r="B11" s="2" t="n">
        <v>869224.4399999999</v>
      </c>
      <c r="C11" s="2" t="n">
        <v>27686.42</v>
      </c>
      <c r="D11" t="n">
        <v>1789</v>
      </c>
      <c r="E11" s="2">
        <f>B11-C11</f>
        <v/>
      </c>
      <c r="F11" s="3">
        <f>IFERROR(E11/E10-1,"")</f>
        <v/>
      </c>
      <c r="G11" s="3">
        <f>IFERROR(E11/INDEX($E$2:$E$26,MATCH(EDATE(A11,-12),$A$2:$A$26,0))-1,"")</f>
        <v/>
      </c>
      <c r="H11">
        <f>YEAR(A11)</f>
        <v/>
      </c>
      <c r="I11">
        <f>IF(A11=DATE(2011,12,1),"partial","")</f>
        <v/>
      </c>
    </row>
    <row r="12">
      <c r="A12" s="1" t="n">
        <v>40452</v>
      </c>
      <c r="B12" s="2" t="n">
        <v>1094357.68</v>
      </c>
      <c r="C12" s="2" t="n">
        <v>25451.07</v>
      </c>
      <c r="D12" t="n">
        <v>2244</v>
      </c>
      <c r="E12" s="2">
        <f>B12-C12</f>
        <v/>
      </c>
      <c r="F12" s="3">
        <f>IFERROR(E12/E11-1,"")</f>
        <v/>
      </c>
      <c r="G12" s="3">
        <f>IFERROR(E12/INDEX($E$2:$E$26,MATCH(EDATE(A12,-12),$A$2:$A$26,0))-1,"")</f>
        <v/>
      </c>
      <c r="H12">
        <f>YEAR(A12)</f>
        <v/>
      </c>
      <c r="I12">
        <f>IF(A12=DATE(2011,12,1),"partial","")</f>
        <v/>
      </c>
    </row>
    <row r="13">
      <c r="A13" s="1" t="n">
        <v>40483</v>
      </c>
      <c r="B13" s="2" t="n">
        <v>1429553.47</v>
      </c>
      <c r="C13" s="2" t="n">
        <v>35098.98</v>
      </c>
      <c r="D13" t="n">
        <v>2719</v>
      </c>
      <c r="E13" s="2">
        <f>B13-C13</f>
        <v/>
      </c>
      <c r="F13" s="3">
        <f>IFERROR(E13/E12-1,"")</f>
        <v/>
      </c>
      <c r="G13" s="3">
        <f>IFERROR(E13/INDEX($E$2:$E$26,MATCH(EDATE(A13,-12),$A$2:$A$26,0))-1,"")</f>
        <v/>
      </c>
      <c r="H13">
        <f>YEAR(A13)</f>
        <v/>
      </c>
      <c r="I13">
        <f>IF(A13=DATE(2011,12,1),"partial","")</f>
        <v/>
      </c>
    </row>
    <row r="14">
      <c r="A14" s="1" t="n">
        <v>40513</v>
      </c>
      <c r="B14" s="2" t="n">
        <v>775572.23</v>
      </c>
      <c r="C14" s="2" t="n">
        <v>17547.86</v>
      </c>
      <c r="D14" t="n">
        <v>1550</v>
      </c>
      <c r="E14" s="2">
        <f>B14-C14</f>
        <v/>
      </c>
      <c r="F14" s="3">
        <f>IFERROR(E14/E13-1,"")</f>
        <v/>
      </c>
      <c r="G14" s="3">
        <f>IFERROR(E14/INDEX($E$2:$E$26,MATCH(EDATE(A14,-12),$A$2:$A$26,0))-1,"")</f>
        <v/>
      </c>
      <c r="H14">
        <f>YEAR(A14)</f>
        <v/>
      </c>
      <c r="I14">
        <f>IF(A14=DATE(2011,12,1),"partial","")</f>
        <v/>
      </c>
    </row>
    <row r="15">
      <c r="A15" s="1" t="n">
        <v>40544</v>
      </c>
      <c r="B15" s="2" t="n">
        <v>670361.99</v>
      </c>
      <c r="C15" s="2" t="n">
        <v>91525.05</v>
      </c>
      <c r="D15" t="n">
        <v>1081</v>
      </c>
      <c r="E15" s="2">
        <f>B15-C15</f>
        <v/>
      </c>
      <c r="F15" s="3">
        <f>IFERROR(E15/E14-1,"")</f>
        <v/>
      </c>
      <c r="G15" s="3">
        <f>IFERROR(E15/INDEX($E$2:$E$26,MATCH(EDATE(A15,-12),$A$2:$A$26,0))-1,"")</f>
        <v/>
      </c>
      <c r="H15">
        <f>YEAR(A15)</f>
        <v/>
      </c>
      <c r="I15">
        <f>IF(A15=DATE(2011,12,1),"partial","")</f>
        <v/>
      </c>
    </row>
    <row r="16">
      <c r="A16" s="1" t="n">
        <v>40575</v>
      </c>
      <c r="B16" s="2" t="n">
        <v>507783.42</v>
      </c>
      <c r="C16" s="2" t="n">
        <v>8335.52</v>
      </c>
      <c r="D16" t="n">
        <v>1093</v>
      </c>
      <c r="E16" s="2">
        <f>B16-C16</f>
        <v/>
      </c>
      <c r="F16" s="3">
        <f>IFERROR(E16/E15-1,"")</f>
        <v/>
      </c>
      <c r="G16" s="3">
        <f>IFERROR(E16/INDEX($E$2:$E$26,MATCH(EDATE(A16,-12),$A$2:$A$26,0))-1,"")</f>
        <v/>
      </c>
      <c r="H16">
        <f>YEAR(A16)</f>
        <v/>
      </c>
      <c r="I16">
        <f>IF(A16=DATE(2011,12,1),"partial","")</f>
        <v/>
      </c>
    </row>
    <row r="17">
      <c r="A17" s="1" t="n">
        <v>40603</v>
      </c>
      <c r="B17" s="2" t="n">
        <v>689708.49</v>
      </c>
      <c r="C17" s="2" t="n">
        <v>10504.3</v>
      </c>
      <c r="D17" t="n">
        <v>1440</v>
      </c>
      <c r="E17" s="2">
        <f>B17-C17</f>
        <v/>
      </c>
      <c r="F17" s="3">
        <f>IFERROR(E17/E16-1,"")</f>
        <v/>
      </c>
      <c r="G17" s="3">
        <f>IFERROR(E17/INDEX($E$2:$E$26,MATCH(EDATE(A17,-12),$A$2:$A$26,0))-1,"")</f>
        <v/>
      </c>
      <c r="H17">
        <f>YEAR(A17)</f>
        <v/>
      </c>
      <c r="I17">
        <f>IF(A17=DATE(2011,12,1),"partial","")</f>
        <v/>
      </c>
    </row>
    <row r="18">
      <c r="A18" s="1" t="n">
        <v>40634</v>
      </c>
      <c r="B18" s="2" t="n">
        <v>515354.78</v>
      </c>
      <c r="C18" s="2" t="n">
        <v>33316.06</v>
      </c>
      <c r="D18" t="n">
        <v>1235</v>
      </c>
      <c r="E18" s="2">
        <f>B18-C18</f>
        <v/>
      </c>
      <c r="F18" s="3">
        <f>IFERROR(E18/E17-1,"")</f>
        <v/>
      </c>
      <c r="G18" s="3">
        <f>IFERROR(E18/INDEX($E$2:$E$26,MATCH(EDATE(A18,-12),$A$2:$A$26,0))-1,"")</f>
        <v/>
      </c>
      <c r="H18">
        <f>YEAR(A18)</f>
        <v/>
      </c>
      <c r="I18">
        <f>IF(A18=DATE(2011,12,1),"partial","")</f>
        <v/>
      </c>
    </row>
    <row r="19">
      <c r="A19" s="1" t="n">
        <v>40664</v>
      </c>
      <c r="B19" s="2" t="n">
        <v>739914.35</v>
      </c>
      <c r="C19" s="2" t="n">
        <v>8948.23</v>
      </c>
      <c r="D19" t="n">
        <v>1668</v>
      </c>
      <c r="E19" s="2">
        <f>B19-C19</f>
        <v/>
      </c>
      <c r="F19" s="3">
        <f>IFERROR(E19/E18-1,"")</f>
        <v/>
      </c>
      <c r="G19" s="3">
        <f>IFERROR(E19/INDEX($E$2:$E$26,MATCH(EDATE(A19,-12),$A$2:$A$26,0))-1,"")</f>
        <v/>
      </c>
      <c r="H19">
        <f>YEAR(A19)</f>
        <v/>
      </c>
      <c r="I19">
        <f>IF(A19=DATE(2011,12,1),"partial","")</f>
        <v/>
      </c>
    </row>
    <row r="20">
      <c r="A20" s="1" t="n">
        <v>40695</v>
      </c>
      <c r="B20" s="2" t="n">
        <v>737558.98</v>
      </c>
      <c r="C20" s="2" t="n">
        <v>13713.84</v>
      </c>
      <c r="D20" t="n">
        <v>1525</v>
      </c>
      <c r="E20" s="2">
        <f>B20-C20</f>
        <v/>
      </c>
      <c r="F20" s="3">
        <f>IFERROR(E20/E19-1,"")</f>
        <v/>
      </c>
      <c r="G20" s="3">
        <f>IFERROR(E20/INDEX($E$2:$E$26,MATCH(EDATE(A20,-12),$A$2:$A$26,0))-1,"")</f>
        <v/>
      </c>
      <c r="H20">
        <f>YEAR(A20)</f>
        <v/>
      </c>
      <c r="I20">
        <f>IF(A20=DATE(2011,12,1),"partial","")</f>
        <v/>
      </c>
    </row>
    <row r="21">
      <c r="A21" s="1" t="n">
        <v>40725</v>
      </c>
      <c r="B21" s="2" t="n">
        <v>688144.79</v>
      </c>
      <c r="C21" s="2" t="n">
        <v>11407.26</v>
      </c>
      <c r="D21" t="n">
        <v>1452</v>
      </c>
      <c r="E21" s="2">
        <f>B21-C21</f>
        <v/>
      </c>
      <c r="F21" s="3">
        <f>IFERROR(E21/E20-1,"")</f>
        <v/>
      </c>
      <c r="G21" s="3">
        <f>IFERROR(E21/INDEX($E$2:$E$26,MATCH(EDATE(A21,-12),$A$2:$A$26,0))-1,"")</f>
        <v/>
      </c>
      <c r="H21">
        <f>YEAR(A21)</f>
        <v/>
      </c>
      <c r="I21">
        <f>IF(A21=DATE(2011,12,1),"partial","")</f>
        <v/>
      </c>
    </row>
    <row r="22">
      <c r="A22" s="1" t="n">
        <v>40756</v>
      </c>
      <c r="B22" s="2" t="n">
        <v>724196.76</v>
      </c>
      <c r="C22" s="2" t="n">
        <v>22926.57</v>
      </c>
      <c r="D22" t="n">
        <v>1339</v>
      </c>
      <c r="E22" s="2">
        <f>B22-C22</f>
        <v/>
      </c>
      <c r="F22" s="3">
        <f>IFERROR(E22/E21-1,"")</f>
        <v/>
      </c>
      <c r="G22" s="3">
        <f>IFERROR(E22/INDEX($E$2:$E$26,MATCH(EDATE(A22,-12),$A$2:$A$26,0))-1,"")</f>
        <v/>
      </c>
      <c r="H22">
        <f>YEAR(A22)</f>
        <v/>
      </c>
      <c r="I22">
        <f>IF(A22=DATE(2011,12,1),"partial","")</f>
        <v/>
      </c>
    </row>
    <row r="23">
      <c r="A23" s="1" t="n">
        <v>40787</v>
      </c>
      <c r="B23" s="2" t="n">
        <v>1028313.8</v>
      </c>
      <c r="C23" s="2" t="n">
        <v>16980.64</v>
      </c>
      <c r="D23" t="n">
        <v>1818</v>
      </c>
      <c r="E23" s="2">
        <f>B23-C23</f>
        <v/>
      </c>
      <c r="F23" s="3">
        <f>IFERROR(E23/E22-1,"")</f>
        <v/>
      </c>
      <c r="G23" s="3">
        <f>IFERROR(E23/INDEX($E$2:$E$26,MATCH(EDATE(A23,-12),$A$2:$A$26,0))-1,"")</f>
        <v/>
      </c>
      <c r="H23">
        <f>YEAR(A23)</f>
        <v/>
      </c>
      <c r="I23">
        <f>IF(A23=DATE(2011,12,1),"partial","")</f>
        <v/>
      </c>
    </row>
    <row r="24">
      <c r="A24" s="1" t="n">
        <v>40817</v>
      </c>
      <c r="B24" s="2" t="n">
        <v>1103310.96</v>
      </c>
      <c r="C24" s="2" t="n">
        <v>41613.03</v>
      </c>
      <c r="D24" t="n">
        <v>2005</v>
      </c>
      <c r="E24" s="2">
        <f>B24-C24</f>
        <v/>
      </c>
      <c r="F24" s="3">
        <f>IFERROR(E24/E23-1,"")</f>
        <v/>
      </c>
      <c r="G24" s="3">
        <f>IFERROR(E24/INDEX($E$2:$E$26,MATCH(EDATE(A24,-12),$A$2:$A$26,0))-1,"")</f>
        <v/>
      </c>
      <c r="H24">
        <f>YEAR(A24)</f>
        <v/>
      </c>
      <c r="I24">
        <f>IF(A24=DATE(2011,12,1),"partial","")</f>
        <v/>
      </c>
    </row>
    <row r="25">
      <c r="A25" s="1" t="n">
        <v>40848</v>
      </c>
      <c r="B25" s="2" t="n">
        <v>1452112.69</v>
      </c>
      <c r="C25" s="2" t="n">
        <v>24991.44</v>
      </c>
      <c r="D25" t="n">
        <v>2751</v>
      </c>
      <c r="E25" s="2">
        <f>B25-C25</f>
        <v/>
      </c>
      <c r="F25" s="3">
        <f>IFERROR(E25/E24-1,"")</f>
        <v/>
      </c>
      <c r="G25" s="3">
        <f>IFERROR(E25/INDEX($E$2:$E$26,MATCH(EDATE(A25,-12),$A$2:$A$26,0))-1,"")</f>
        <v/>
      </c>
      <c r="H25">
        <f>YEAR(A25)</f>
        <v/>
      </c>
      <c r="I25">
        <f>IF(A25=DATE(2011,12,1),"partial","")</f>
        <v/>
      </c>
    </row>
    <row r="26">
      <c r="A26" s="1" t="n">
        <v>40878</v>
      </c>
      <c r="B26" s="2" t="n">
        <v>614487.63</v>
      </c>
      <c r="C26" s="2" t="n">
        <v>174091.36</v>
      </c>
      <c r="D26" t="n">
        <v>816</v>
      </c>
      <c r="E26" s="2">
        <f>B26-C26</f>
        <v/>
      </c>
      <c r="F26" s="3">
        <f>IFERROR(E26/E25-1,"")</f>
        <v/>
      </c>
      <c r="G26" s="3">
        <f>IFERROR(E26/INDEX($E$2:$E$26,MATCH(EDATE(A26,-12),$A$2:$A$26,0))-1,"")</f>
        <v/>
      </c>
      <c r="H26">
        <f>YEAR(A26)</f>
        <v/>
      </c>
      <c r="I26">
        <f>IF(A26=DATE(2011,12,1),"partial","")</f>
        <v/>
      </c>
    </row>
  </sheetData>
  <conditionalFormatting sqref="F2:G26">
    <cfRule type="cellIs" priority="1" operator="less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Net revenue, formulas total</t>
        </is>
      </c>
      <c r="B1" s="2">
        <f>SUM(Monthly!E2:E26)</f>
        <v/>
      </c>
    </row>
    <row r="2">
      <c r="A2" t="inlineStr">
        <is>
          <t>Net revenue, warehouse (SQL)</t>
        </is>
      </c>
      <c r="B2" s="2" t="n">
        <v>18926266.18</v>
      </c>
    </row>
    <row r="3">
      <c r="A3" t="inlineStr">
        <is>
          <t>Difference (must be 0)</t>
        </is>
      </c>
      <c r="B3">
        <f>ROUND(B1-B2,2)</f>
        <v/>
      </c>
    </row>
    <row r="5">
      <c r="A5" t="inlineStr">
        <is>
          <t>Best month by net revenue</t>
        </is>
      </c>
      <c r="B5" s="1">
        <f>INDEX(Monthly!A2:A26,MATCH(MAX(Monthly!E2:E26),Monthly!E2:E26,0))</f>
        <v/>
      </c>
    </row>
    <row r="6">
      <c r="A6" t="inlineStr">
        <is>
          <t>Net revenue in that month</t>
        </is>
      </c>
      <c r="B6" s="2">
        <f>MAX(Monthly!E2:E26)</f>
        <v/>
      </c>
    </row>
    <row r="8">
      <c r="A8" s="4" t="inlineStr">
        <is>
          <t>Year</t>
        </is>
      </c>
      <c r="B8" s="4" t="inlineStr">
        <is>
          <t>Gross revenue</t>
        </is>
      </c>
      <c r="C8" s="4" t="inlineStr">
        <is>
          <t>Cancelled</t>
        </is>
      </c>
      <c r="D8" s="4" t="inlineStr">
        <is>
          <t>Net revenue</t>
        </is>
      </c>
      <c r="E8" s="4" t="inlineStr">
        <is>
          <t>Cancellation rate</t>
        </is>
      </c>
    </row>
    <row r="9">
      <c r="A9" t="n">
        <v>2009</v>
      </c>
      <c r="B9" s="2">
        <f>SUMIFS(Monthly!$B$2:$B$26,Monthly!$H$2:$H$26,A9)</f>
        <v/>
      </c>
      <c r="C9" s="2">
        <f>SUMIFS(Monthly!$C$2:$C$26,Monthly!$H$2:$H$26,A9)</f>
        <v/>
      </c>
      <c r="D9" s="2">
        <f>B9-C9</f>
        <v/>
      </c>
      <c r="E9" s="5">
        <f>IFERROR(C9/B9,"")</f>
        <v/>
      </c>
    </row>
    <row r="10">
      <c r="A10" t="n">
        <v>2010</v>
      </c>
      <c r="B10" s="2">
        <f>SUMIFS(Monthly!$B$2:$B$26,Monthly!$H$2:$H$26,A10)</f>
        <v/>
      </c>
      <c r="C10" s="2">
        <f>SUMIFS(Monthly!$C$2:$C$26,Monthly!$H$2:$H$26,A10)</f>
        <v/>
      </c>
      <c r="D10" s="2">
        <f>B10-C10</f>
        <v/>
      </c>
      <c r="E10" s="5">
        <f>IFERROR(C10/B10,"")</f>
        <v/>
      </c>
    </row>
    <row r="11">
      <c r="A11" t="n">
        <v>2011</v>
      </c>
      <c r="B11" s="2">
        <f>SUMIFS(Monthly!$B$2:$B$26,Monthly!$H$2:$H$26,A11)</f>
        <v/>
      </c>
      <c r="C11" s="2">
        <f>SUMIFS(Monthly!$C$2:$C$26,Monthly!$H$2:$H$26,A11)</f>
        <v/>
      </c>
      <c r="D11" s="2">
        <f>B11-C11</f>
        <v/>
      </c>
      <c r="E11" s="5">
        <f>IFERROR(C11/B11,"")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2026-10-04T17:27:26Z</dcterms:created>
  <dcterms:modified xsi:type="dcterms:W3CDTF">2026-10-04T17:27:26Z</dcterms:modified>
</cp:coreProperties>
</file>